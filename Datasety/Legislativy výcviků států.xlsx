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01_SKOLA\VSE_Ing\Diplomka\Zdroje\Data\"/>
    </mc:Choice>
  </mc:AlternateContent>
  <xr:revisionPtr revIDLastSave="0" documentId="13_ncr:1_{45E86665-A25D-46F8-96F7-BF0F98D8CB5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Regulace B" sheetId="1" r:id="rId1"/>
    <sheet name="Kompaktní regulace B" sheetId="2" r:id="rId2"/>
    <sheet name="Zdroje a soubory" sheetId="3" r:id="rId3"/>
  </sheets>
  <definedNames>
    <definedName name="_xlnm._FilterDatabase" localSheetId="0" hidden="1">'Regulace B'!$A$1:$R$21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J17" i="1" s="1"/>
  <c r="M4" i="1"/>
  <c r="M11" i="1"/>
  <c r="M19" i="1"/>
  <c r="M17" i="1"/>
  <c r="N17" i="1" s="1"/>
  <c r="M20" i="1"/>
  <c r="N20" i="1" s="1"/>
  <c r="M21" i="1"/>
  <c r="M14" i="1"/>
  <c r="I5" i="1"/>
  <c r="J5" i="1" s="1"/>
  <c r="I12" i="1"/>
  <c r="J12" i="1" s="1"/>
  <c r="I15" i="1"/>
  <c r="I3" i="1"/>
  <c r="J3" i="1" s="1"/>
  <c r="I9" i="1"/>
  <c r="J9" i="1" s="1"/>
  <c r="I6" i="1"/>
  <c r="J6" i="1" s="1"/>
  <c r="I13" i="1"/>
  <c r="J13" i="1" s="1"/>
  <c r="I7" i="1"/>
  <c r="J7" i="1" s="1"/>
  <c r="I18" i="1"/>
  <c r="J18" i="1" s="1"/>
  <c r="I10" i="1"/>
  <c r="J10" i="1" s="1"/>
  <c r="I16" i="1"/>
  <c r="J16" i="1" s="1"/>
  <c r="I2" i="1"/>
  <c r="J2" i="1" s="1"/>
  <c r="I4" i="1"/>
  <c r="J4" i="1" s="1"/>
  <c r="I11" i="1"/>
  <c r="J11" i="1" s="1"/>
  <c r="I19" i="1"/>
  <c r="I20" i="1"/>
  <c r="I21" i="1"/>
  <c r="I14" i="1"/>
  <c r="I8" i="1"/>
  <c r="J8" i="1" s="1"/>
  <c r="M5" i="1"/>
  <c r="M12" i="1"/>
  <c r="M15" i="1"/>
  <c r="N15" i="1" s="1"/>
  <c r="M3" i="1"/>
  <c r="N3" i="1" s="1"/>
  <c r="M9" i="1"/>
  <c r="N9" i="1" s="1"/>
  <c r="M6" i="1"/>
  <c r="N6" i="1" s="1"/>
  <c r="M13" i="1"/>
  <c r="N13" i="1" s="1"/>
  <c r="M7" i="1"/>
  <c r="M18" i="1"/>
  <c r="M10" i="1"/>
  <c r="N10" i="1" s="1"/>
  <c r="M16" i="1"/>
  <c r="N16" i="1" s="1"/>
  <c r="M2" i="1"/>
  <c r="N2" i="1" s="1"/>
  <c r="N4" i="1"/>
  <c r="N11" i="1"/>
  <c r="N19" i="1"/>
  <c r="M8" i="1"/>
  <c r="N8" i="1" s="1"/>
  <c r="N14" i="1"/>
  <c r="J14" i="1"/>
  <c r="N21" i="1"/>
  <c r="J21" i="1"/>
  <c r="J20" i="1"/>
  <c r="J19" i="1"/>
  <c r="N18" i="1"/>
  <c r="N7" i="1"/>
  <c r="J15" i="1"/>
  <c r="N12" i="1"/>
  <c r="N5" i="1"/>
</calcChain>
</file>

<file path=xl/sharedStrings.xml><?xml version="1.0" encoding="utf-8"?>
<sst xmlns="http://schemas.openxmlformats.org/spreadsheetml/2006/main" count="319" uniqueCount="204">
  <si>
    <t>ISO</t>
  </si>
  <si>
    <t>Teorie hodin</t>
  </si>
  <si>
    <t>Výcvik hodin</t>
  </si>
  <si>
    <t>OER pokryto</t>
  </si>
  <si>
    <t>CZ</t>
  </si>
  <si>
    <t>SK</t>
  </si>
  <si>
    <t>AT</t>
  </si>
  <si>
    <t>DE</t>
  </si>
  <si>
    <t>PL</t>
  </si>
  <si>
    <t>HU</t>
  </si>
  <si>
    <t>HR</t>
  </si>
  <si>
    <t>SI</t>
  </si>
  <si>
    <t>BG</t>
  </si>
  <si>
    <t>ES</t>
  </si>
  <si>
    <t>FR</t>
  </si>
  <si>
    <t>IT</t>
  </si>
  <si>
    <t>PT</t>
  </si>
  <si>
    <t>BE</t>
  </si>
  <si>
    <t>DK</t>
  </si>
  <si>
    <t>SE</t>
  </si>
  <si>
    <t>FI</t>
  </si>
  <si>
    <t>UK</t>
  </si>
  <si>
    <t>CH</t>
  </si>
  <si>
    <t>IS</t>
  </si>
  <si>
    <t>Země</t>
  </si>
  <si>
    <t>Město</t>
  </si>
  <si>
    <t>AŠ povinná</t>
  </si>
  <si>
    <t>Laický výcvik povolen</t>
  </si>
  <si>
    <t>Teorie (vyuč. h)</t>
  </si>
  <si>
    <t>Délka teor. hod. (min)</t>
  </si>
  <si>
    <t>Teorie celkem (min)</t>
  </si>
  <si>
    <t>Praxe (vyuč. h)</t>
  </si>
  <si>
    <t>Délka prakt. hod. (min)</t>
  </si>
  <si>
    <t>Praxe celkem (min)</t>
  </si>
  <si>
    <t>Povinné extra moduly</t>
  </si>
  <si>
    <t>Post-licenční povinnosti</t>
  </si>
  <si>
    <t>Primární předpis</t>
  </si>
  <si>
    <t>Poznámka</t>
  </si>
  <si>
    <t>OER – admin. zátěž</t>
  </si>
  <si>
    <t>OER – kvalifikace</t>
  </si>
  <si>
    <t>OER – mobilita</t>
  </si>
  <si>
    <t>OER celkem (0–6)</t>
  </si>
  <si>
    <t>Česko</t>
  </si>
  <si>
    <t>Praha</t>
  </si>
  <si>
    <t>ano</t>
  </si>
  <si>
    <t>ne</t>
  </si>
  <si>
    <t>zdravotnická příprava součástí kurzu (2T+4P h)</t>
  </si>
  <si>
    <t>–</t>
  </si>
  <si>
    <t>zákon č. 247/2000 Sb., § 15 + příloha č. 3</t>
  </si>
  <si>
    <t>z 34 h praxe je 28 h řízení (2 AC + 5 min. + 21 stř. provoz), 2 údržba, 4 zdrav.</t>
  </si>
  <si>
    <t>dokódovat (mimo OER)</t>
  </si>
  <si>
    <t>Slovensko</t>
  </si>
  <si>
    <t>Bratislava</t>
  </si>
  <si>
    <t>prům. nájezd ≥15 km / vyuč. hodinu</t>
  </si>
  <si>
    <t>zákon 93/2005 Z.z. + vyhláška 45/2016 Z.z. + učebné osnovy JISCD (príl. 2)</t>
  </si>
  <si>
    <t>praxe: 4 trenažér + 2+2 autocvičisko + 6 flexi + 24 cestná premávka + 1 údržba</t>
  </si>
  <si>
    <t>Rakousko</t>
  </si>
  <si>
    <t>Vídeň</t>
  </si>
  <si>
    <t>částečně (L17 duál)</t>
  </si>
  <si>
    <t>3 speciální jízdy (noc/dálnice/mimo obec) v rámci 18 j.</t>
  </si>
  <si>
    <t>Mehrphase: perfekční jízdy + kurz bezpečné jízdy (2.–12. měsíc po zkoušce)</t>
  </si>
  <si>
    <t>KDV 1967 (RIS) + FSG § 4a–4c; oesterreich.gv.at</t>
  </si>
  <si>
    <t>Německo</t>
  </si>
  <si>
    <t>Berlín</t>
  </si>
  <si>
    <t>teorie = 12 dvojhodin Grundstoff + 2 Zusatzstoff (à 90 min)</t>
  </si>
  <si>
    <t>Fahrschüler-Ausbildungsordnung 2012 (§ 4, Anlage 4)</t>
  </si>
  <si>
    <t>jízdy: BEZ obecného minima, povinných jen 12 Sonderfahrten (5 Überland + 4 Autobahn + 3 noc)</t>
  </si>
  <si>
    <t>Polsko</t>
  </si>
  <si>
    <t>Varšava</t>
  </si>
  <si>
    <t>4 h první pomoci v rámci teorie</t>
  </si>
  <si>
    <t>ustawa o kierujących pojazdami (2011) + rozporządzenie Dz.U. 2018 poz. 1885 (§ 9)</t>
  </si>
  <si>
    <t>Maďarsko</t>
  </si>
  <si>
    <t>Budapešť</t>
  </si>
  <si>
    <t>24/2005. (IV. 21.) GKM rendelet + kurikulum KAV</t>
  </si>
  <si>
    <t>Chorvatsko</t>
  </si>
  <si>
    <t>Záhřeb</t>
  </si>
  <si>
    <t>Pravilnik o osposobljavanju kandidata za vozače, NN 132/2017 (novela NN 102/2020)</t>
  </si>
  <si>
    <t>Slovinsko</t>
  </si>
  <si>
    <t>Lublaň</t>
  </si>
  <si>
    <t>tečaj prve pomoči – Rdeči križ (OVĚŘIT)</t>
  </si>
  <si>
    <t>minima („najmanj"); pedagoška ura = 45 min</t>
  </si>
  <si>
    <t>Bulharsko</t>
  </si>
  <si>
    <t>Sofie</t>
  </si>
  <si>
    <t>Španělsko</t>
  </si>
  <si>
    <t>Madrid</t>
  </si>
  <si>
    <t>ano (de facto)</t>
  </si>
  <si>
    <t>žádné zákonné minimum hodin – jen zkoušky</t>
  </si>
  <si>
    <t>RD 818/2009 (Reglamento General de Conductores) + RD 1295/2003</t>
  </si>
  <si>
    <t>cvičné jízdy jen s instruktorem AŠ → AŠ de facto povinná i bez minima hodin</t>
  </si>
  <si>
    <t>Francie</t>
  </si>
  <si>
    <t>Paříž</t>
  </si>
  <si>
    <t>ano (do 20 h)</t>
  </si>
  <si>
    <t>po 20 h (AAC)</t>
  </si>
  <si>
    <t>teorie bez minima (jen zkouška „code")</t>
  </si>
  <si>
    <t>arrêté du 22. 12. 2009, art. 4 + Code de la route R.211/R.213</t>
  </si>
  <si>
    <t>min. 20 h praxe (≥15 h v provozu); 13 h na automat; hodiny = 60 min</t>
  </si>
  <si>
    <t>Itálie</t>
  </si>
  <si>
    <t>Řím</t>
  </si>
  <si>
    <t>částečně</t>
  </si>
  <si>
    <t>částečně (foglio rosa)</t>
  </si>
  <si>
    <t>6 povinných jízd: 2 dálnice/mimo obec + 2 město + 2 noc</t>
  </si>
  <si>
    <t>DM 20. 4. 2012 (MIT, GU 95/2012)</t>
  </si>
  <si>
    <t>teorie „da privatista" povolena; nad 6 h jízdy s doprovodem na foglio rosa</t>
  </si>
  <si>
    <t>Portugalsko</t>
  </si>
  <si>
    <t>Lisabon</t>
  </si>
  <si>
    <t>min. nájezd 500 km (Portaria 185/2015)</t>
  </si>
  <si>
    <t>Lei n.º 14/2014 + Portaria n.º 185/2015</t>
  </si>
  <si>
    <t>Belgie (Brusel)</t>
  </si>
  <si>
    <t>Brusel</t>
  </si>
  <si>
    <t>ne (volitelné cesty)</t>
  </si>
  <si>
    <t>ano (stáž s mentorem)</t>
  </si>
  <si>
    <t>be.brussels (regionální úprava od 11/2018)</t>
  </si>
  <si>
    <t>4 cesty: 30 h bez stáže / 20 h + 3 měs. / 14 h + 6 měs. s mentorem / 0 h + 9 měs. s mentorem; hodiny = 60 min (heures)</t>
  </si>
  <si>
    <t>Dánsko</t>
  </si>
  <si>
    <t>Kodaň</t>
  </si>
  <si>
    <t>v rámci jízd: min. 4 lekce manévr. plocha + min. 4 lekce kluzný polygon</t>
  </si>
  <si>
    <t>kørekortbekendtgørelsen (BEK 906/2019) + undervisningsplan kat. B (BEK 757/2020)</t>
  </si>
  <si>
    <t>Švédsko</t>
  </si>
  <si>
    <t>Stockholm</t>
  </si>
  <si>
    <t>ano (mentor s introduktionsutbildning)</t>
  </si>
  <si>
    <t>Riskutbildning del 1 (~3 h) + del 2 halkbana (~4–5 h)</t>
  </si>
  <si>
    <t>körkortslag (1998:488) + TSFS (Transportstyrelsen)</t>
  </si>
  <si>
    <t>Finsko</t>
  </si>
  <si>
    <t>Helsinky</t>
  </si>
  <si>
    <t>ano (opetuslupa)</t>
  </si>
  <si>
    <t>8 h riskientunnistamiskoulutus (4 teorie + 4 praxe) před zkouškou; EAS 4 h u prvního ŘP</t>
  </si>
  <si>
    <t>Spojené království</t>
  </si>
  <si>
    <t>Londýn</t>
  </si>
  <si>
    <t>ano (mentor 21+, ŘP ≥3 roky)</t>
  </si>
  <si>
    <t>žádné povinné minimum – jen teoretická + praktická zkouška</t>
  </si>
  <si>
    <t>Road Traffic Act 1988 (část V – ADI) + GOV.UK</t>
  </si>
  <si>
    <t>DfT konzultace 2026 potvrzuje absenci minima (viz stažené PDF)</t>
  </si>
  <si>
    <t>Švýcarsko</t>
  </si>
  <si>
    <t>Curych</t>
  </si>
  <si>
    <t>ano (doprovod 23+, ŘP ≥3 roky)</t>
  </si>
  <si>
    <t>Nothelferkurs 10 h (před teor. zkouškou); VKU 8 h (před prakt. zkouškou)</t>
  </si>
  <si>
    <t>WAB kurz (2. fáze, 1 den) po zkoušce</t>
  </si>
  <si>
    <t>VZV, SR 741.51 (Fedlex)</t>
  </si>
  <si>
    <t>Island</t>
  </si>
  <si>
    <t>Reykjavík</t>
  </si>
  <si>
    <t>ano (æfingaakstur s mentorem)</t>
  </si>
  <si>
    <t>Ökuskóli 3 (kurz na cvičišti/ökugerði)</t>
  </si>
  <si>
    <t>reglugerð nr. 830/2011, 10. gr. (konsolid. znění 5/2025)</t>
  </si>
  <si>
    <t>MALÝ TRH (~140 tis. obyv.) – nižší n; přiznat v limitacích</t>
  </si>
  <si>
    <t>Soubor ve složce ZákonyAutoškol</t>
  </si>
  <si>
    <t>Oficiální odkaz</t>
  </si>
  <si>
    <t>247-2000-Sb.pdf / CZ_247-2000-Sb_zvyrazneno.pdf (kopie se zvýrazněním); 361-2000-Sb.pdf</t>
  </si>
  <si>
    <t>https://www.zakonyprolidi.cz/cs/2000-247</t>
  </si>
  <si>
    <t>SK_Ucebne_osnovy_JISCD_priloha2_B.pdf + SK_Zakon_93-2005_a_Vyhlaska_45-2016_slov-lex.html</t>
  </si>
  <si>
    <t>https://www.slov-lex.sk/pravne-predpisy/SK/ZZ/2016/45/20230523.html</t>
  </si>
  <si>
    <t>AT_KDV_1967_a_FSG_oesterreich_gv_at.html</t>
  </si>
  <si>
    <t>https://www.oesterreich.gv.at/en/themen/persoenliche_dokumente_und_bestaetigungen/fuehrerschein/1/1/Seite.040710</t>
  </si>
  <si>
    <t>DE_FahrschAusbO_2012.pdf</t>
  </si>
  <si>
    <t>https://www.gesetze-im-internet.de/fahrschausbo_2012/</t>
  </si>
  <si>
    <t>PL_Rozporzadzenie_szkolenie_DzU_2018_1885.pdf</t>
  </si>
  <si>
    <t>https://isap.sejm.gov.pl/isap.nsf/DocDetails.xsp?id=WDU20180001885</t>
  </si>
  <si>
    <t>HU_KAV_tantervi_kovetelmenyek_B.pdf + HU_24-2005_GKM_rendelet_njt.html</t>
  </si>
  <si>
    <t>https://njt.hu/jogszabaly/2005-24-20-0L</t>
  </si>
  <si>
    <t>HR_Pravilnik_o_osposobljavanju_NN_132-2017.html</t>
  </si>
  <si>
    <t>https://narodne-novine.nn.hr/clanci/sluzbeni/2017_12_132_3037.html</t>
  </si>
  <si>
    <t>SI_Pravilnik_usposabljanje_UrList_2021.html</t>
  </si>
  <si>
    <t>https://www.uradni-list.si/glasilo-uradni-list-rs/vsebina/2021-01-2065/pravilnik-o-usposabljanju-kandidatov-za-voznike-motornih-vozil</t>
  </si>
  <si>
    <t>BG_Naredba_37_2002_konsolidirana.pdf</t>
  </si>
  <si>
    <t>https://www.sars.gov.bg/</t>
  </si>
  <si>
    <t>ES_RD_818-2009_Reglamento_Conductores_BOE.pdf + ES_poznamka_zadne_minimum.html</t>
  </si>
  <si>
    <t>https://www.boe.es/buscar/doc.php?id=BOE-A-2009-9481</t>
  </si>
  <si>
    <t>FR_Arrete_22-12-2009_Legifrance.html</t>
  </si>
  <si>
    <t>https://www.legifrance.gouv.fr/jorf/id/JORFTEXT000021560658</t>
  </si>
  <si>
    <t>IT_DM_20-04-2012_guide_obbligatorie.pdf</t>
  </si>
  <si>
    <t>https://www.mit.gov.it/normativa/decreto-ministeriale-del-20042012</t>
  </si>
  <si>
    <t>PT_Lei_14-2014_e_Portaria_185-2015_DRE.html</t>
  </si>
  <si>
    <t>https://diariodarepublica.pt/dr/legislacao-consolidada/lei/2014-223038981</t>
  </si>
  <si>
    <t>BE_Brusel_permis_B_be-brussels.html</t>
  </si>
  <si>
    <t>https://be.brussels/en/transport-mobility/drivers-license-and-vehicle-registration/getting-your-driving-licence/driver-training-and-driving-licence-tests-licence-b</t>
  </si>
  <si>
    <t>DK_Korekortbekendtgorelsen_Retsinformation.html</t>
  </si>
  <si>
    <t>https://www.retsinformation.dk/eli/lta/2020/757</t>
  </si>
  <si>
    <t>SE_Korkortslag_1998-488_a_riskutbildning.html</t>
  </si>
  <si>
    <t>https://www.transportstyrelsen.se/sv/vagtrafik/korkort/ta-korkort/riskutbildning/riskutbildning-bil/</t>
  </si>
  <si>
    <t>FI_Ajokorttilaki_386-2011_Finlex.html</t>
  </si>
  <si>
    <t>https://www.finlex.fi/fi/laki/ajantasa/2011/20110386</t>
  </si>
  <si>
    <t>UK_DfT_consultation_minimum_learning_period.pdf + UK_RTA_1988_a_GOVUK.html</t>
  </si>
  <si>
    <t>https://www.gov.uk/driving-lessons-learning-to-drive</t>
  </si>
  <si>
    <t>CH_VZV_SR-741-51_Fedlex.html</t>
  </si>
  <si>
    <t>https://www.fedlex.admin.ch/eli/cc/1976/2423_2423_2423/de</t>
  </si>
  <si>
    <t>IS_Reglugerd_830-2011_okuskirteini.pdf</t>
  </si>
  <si>
    <t>https://files.reglugerd.is/pdf/0830-2011/current</t>
  </si>
  <si>
    <t>OER (OECD)</t>
  </si>
  <si>
    <t>(složka Data) OECD_WP1606_Measuring_OER.pdf</t>
  </si>
  <si>
    <t>https://www.oecd.org/content/dam/oecd/en/publications/reports/2020/03/measuring-occupational-entry-regulations-a-new-oecd-approach_fdd72a54/296dae6b-en.pdf</t>
  </si>
  <si>
    <t>OER</t>
  </si>
  <si>
    <t>Zkontrolováno</t>
  </si>
  <si>
    <t>ANO</t>
  </si>
  <si>
    <t>Pravilnik o usposabljanju kandidatov, Ur. l. RS 2021 (ZVoz-1, čl. 37)   Minimum teorie: https://www.avp-rs.si/vozniki/sole-voznje/program-usposabljanja-kandidatov-za-voznike/</t>
  </si>
  <si>
    <t>BG_Ucheben_plan_kat_B_MON_2012   BG_Standart_kat_B_MON</t>
  </si>
  <si>
    <t>Existují 4 možnosti, jak získat řidičský průkaz. Pro význam práce se použije první možnost, což je 30 hodin v autoškole a 0 hodin soukromě.</t>
  </si>
  <si>
    <t>FI_Traficom_maarays_Kuljettajaopetus_2026</t>
  </si>
  <si>
    <t>lekce min. 45 min</t>
  </si>
  <si>
    <t>lekce má 50 min (Portaria 185/2015); + povinný min. nájezd 500 km</t>
  </si>
  <si>
    <t>délky hodin: § 10 rozporządzenia – teorie 45 min, praxe 60 min</t>
  </si>
  <si>
    <t>hodiny stanoví učebná dokumentace (МОН), ne naredba sama; teorie 45 min, kormilen čas (jízda) 50 min</t>
  </si>
  <si>
    <t>praxe: 9 alapoktatás + 20 főoktatás (14 město + 4 silnice + 2 noc); kurz min. 57 h; délky hodin dle 24/2005 GKM: teorie 45 min, jízda 50 min</t>
  </si>
  <si>
    <t xml:space="preserve"> 50 min</t>
  </si>
  <si>
    <t>teorie 8 = VKU (4 bloky × 2 lekce, celkem 8 h); Nothelfer 10 h / min. 2 dny</t>
  </si>
  <si>
    <t>Bude se jim měnit zákon koncem roku 2026 ajo-opetustunti = 50 min; EAS 4 h + riskikoulutus 8 h (4 teorie + 4 jízdy, lze část na simulátoru. Autoškola tedy není povinná per se, ale dva extra moduly  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</si>
</sst>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164" fontId="0" fillId="0" borderId="2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4" borderId="2" xfId="0" applyFill="1" applyBorder="1" applyAlignment="1">
      <alignment vertical="top" wrapText="1"/>
    </xf>
    <xf numFmtId="0" fontId="1" fillId="3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="85" zoomScaleNormal="85" workbookViewId="0">
      <pane xSplit="3" ySplit="1" topLeftCell="K2" activePane="bottomRight" state="frozen"/>
      <selection pane="topRight"/>
      <selection pane="bottomLeft"/>
      <selection pane="bottomRight" activeCell="R18" sqref="R18"/>
    </sheetView>
  </sheetViews>
  <sheetFormatPr defaultRowHeight="14.5" x14ac:dyDescent="0.35"/>
  <cols>
    <col min="1" max="1" width="16.08984375" bestFit="1" customWidth="1"/>
    <col min="2" max="2" width="4.81640625" customWidth="1"/>
    <col min="3" max="3" width="11.1796875" bestFit="1" customWidth="1"/>
    <col min="4" max="4" width="8" customWidth="1"/>
    <col min="5" max="5" width="16.453125" bestFit="1" customWidth="1"/>
    <col min="6" max="6" width="27.54296875" bestFit="1" customWidth="1"/>
    <col min="7" max="7" width="12.7265625" bestFit="1" customWidth="1"/>
    <col min="8" max="8" width="13.7265625" customWidth="1"/>
    <col min="9" max="10" width="10" customWidth="1"/>
    <col min="11" max="11" width="12.7265625" bestFit="1" customWidth="1"/>
    <col min="12" max="12" width="14.08984375" bestFit="1" customWidth="1"/>
    <col min="13" max="13" width="11.7265625" bestFit="1" customWidth="1"/>
    <col min="14" max="14" width="11.7265625" customWidth="1"/>
    <col min="15" max="15" width="52.26953125" customWidth="1"/>
    <col min="16" max="16" width="35.26953125" bestFit="1" customWidth="1"/>
    <col min="17" max="17" width="31" customWidth="1"/>
    <col min="18" max="18" width="42" customWidth="1"/>
    <col min="19" max="23" width="11" customWidth="1"/>
  </cols>
  <sheetData>
    <row r="1" spans="1:23" ht="39" customHeight="1" x14ac:dyDescent="0.35">
      <c r="A1" s="1" t="s">
        <v>24</v>
      </c>
      <c r="B1" s="1" t="s">
        <v>0</v>
      </c>
      <c r="C1" s="1" t="s">
        <v>25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4" t="s">
        <v>1</v>
      </c>
      <c r="K1" s="1" t="s">
        <v>31</v>
      </c>
      <c r="L1" s="1" t="s">
        <v>32</v>
      </c>
      <c r="M1" s="1" t="s">
        <v>33</v>
      </c>
      <c r="N1" s="4" t="s">
        <v>2</v>
      </c>
      <c r="O1" s="1" t="s">
        <v>34</v>
      </c>
      <c r="P1" s="1" t="s">
        <v>35</v>
      </c>
      <c r="Q1" s="1" t="s">
        <v>36</v>
      </c>
      <c r="R1" s="1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10" t="s">
        <v>190</v>
      </c>
    </row>
    <row r="2" spans="1:23" ht="29" customHeight="1" x14ac:dyDescent="0.35">
      <c r="A2" s="2" t="s">
        <v>103</v>
      </c>
      <c r="B2" s="2" t="s">
        <v>16</v>
      </c>
      <c r="C2" s="2" t="s">
        <v>104</v>
      </c>
      <c r="D2" s="2">
        <v>1</v>
      </c>
      <c r="E2" s="2" t="s">
        <v>44</v>
      </c>
      <c r="F2" s="2" t="s">
        <v>45</v>
      </c>
      <c r="G2" s="2">
        <v>28</v>
      </c>
      <c r="H2" s="2">
        <v>60</v>
      </c>
      <c r="I2" s="2">
        <f>G2*H2</f>
        <v>1680</v>
      </c>
      <c r="J2" s="9">
        <f>I2/60</f>
        <v>28</v>
      </c>
      <c r="K2" s="2">
        <v>32</v>
      </c>
      <c r="L2" s="2">
        <v>60</v>
      </c>
      <c r="M2" s="2">
        <f>K2*L2</f>
        <v>1920</v>
      </c>
      <c r="N2" s="9">
        <f>M2/60</f>
        <v>32</v>
      </c>
      <c r="O2" s="2" t="s">
        <v>105</v>
      </c>
      <c r="P2" s="2" t="s">
        <v>47</v>
      </c>
      <c r="Q2" s="2" t="s">
        <v>106</v>
      </c>
      <c r="R2" s="2" t="s">
        <v>197</v>
      </c>
      <c r="S2" s="6"/>
      <c r="T2" s="6"/>
      <c r="U2" s="6"/>
      <c r="V2" s="6" t="s">
        <v>50</v>
      </c>
      <c r="W2" s="6" t="s">
        <v>191</v>
      </c>
    </row>
    <row r="3" spans="1:23" ht="29" customHeight="1" x14ac:dyDescent="0.35">
      <c r="A3" s="2" t="s">
        <v>67</v>
      </c>
      <c r="B3" s="2" t="s">
        <v>8</v>
      </c>
      <c r="C3" s="2" t="s">
        <v>68</v>
      </c>
      <c r="D3" s="2">
        <v>1</v>
      </c>
      <c r="E3" s="2" t="s">
        <v>44</v>
      </c>
      <c r="F3" s="2" t="s">
        <v>45</v>
      </c>
      <c r="G3" s="2">
        <v>30</v>
      </c>
      <c r="H3" s="2">
        <v>45</v>
      </c>
      <c r="I3" s="2">
        <f>G3*H3</f>
        <v>1350</v>
      </c>
      <c r="J3" s="9">
        <f>I3/60</f>
        <v>22.5</v>
      </c>
      <c r="K3" s="2">
        <v>30</v>
      </c>
      <c r="L3" s="2">
        <v>60</v>
      </c>
      <c r="M3" s="2">
        <f>K3*L3</f>
        <v>1800</v>
      </c>
      <c r="N3" s="9">
        <f>M3/60</f>
        <v>30</v>
      </c>
      <c r="O3" s="2" t="s">
        <v>69</v>
      </c>
      <c r="P3" s="2" t="s">
        <v>47</v>
      </c>
      <c r="Q3" s="2" t="s">
        <v>70</v>
      </c>
      <c r="R3" s="2" t="s">
        <v>198</v>
      </c>
      <c r="S3" s="6"/>
      <c r="T3" s="6"/>
      <c r="U3" s="6"/>
      <c r="V3" s="6" t="s">
        <v>50</v>
      </c>
      <c r="W3" s="6" t="s">
        <v>191</v>
      </c>
    </row>
    <row r="4" spans="1:23" ht="43.5" customHeight="1" x14ac:dyDescent="0.35">
      <c r="A4" s="2" t="s">
        <v>107</v>
      </c>
      <c r="B4" s="2" t="s">
        <v>17</v>
      </c>
      <c r="C4" s="2" t="s">
        <v>108</v>
      </c>
      <c r="D4" s="2">
        <v>1</v>
      </c>
      <c r="E4" s="2" t="s">
        <v>109</v>
      </c>
      <c r="F4" s="2" t="s">
        <v>110</v>
      </c>
      <c r="G4" s="2">
        <v>12</v>
      </c>
      <c r="H4" s="2">
        <v>60</v>
      </c>
      <c r="I4" s="2">
        <f>G4*H4</f>
        <v>720</v>
      </c>
      <c r="J4" s="9">
        <f>I4/60</f>
        <v>12</v>
      </c>
      <c r="K4" s="2">
        <v>30</v>
      </c>
      <c r="L4" s="2">
        <v>60</v>
      </c>
      <c r="M4" s="2">
        <f>K4*L4</f>
        <v>1800</v>
      </c>
      <c r="N4" s="9">
        <f>M4/60</f>
        <v>30</v>
      </c>
      <c r="O4" s="11" t="s">
        <v>194</v>
      </c>
      <c r="P4" s="2" t="s">
        <v>47</v>
      </c>
      <c r="Q4" s="2" t="s">
        <v>111</v>
      </c>
      <c r="R4" s="2" t="s">
        <v>112</v>
      </c>
      <c r="S4" s="6">
        <v>0.67</v>
      </c>
      <c r="T4" s="6">
        <v>1.25</v>
      </c>
      <c r="U4" s="6">
        <v>0</v>
      </c>
      <c r="V4" s="6">
        <v>1.92</v>
      </c>
      <c r="W4" s="6" t="s">
        <v>191</v>
      </c>
    </row>
    <row r="5" spans="1:23" ht="43.5" customHeight="1" x14ac:dyDescent="0.35">
      <c r="A5" s="2" t="s">
        <v>51</v>
      </c>
      <c r="B5" s="2" t="s">
        <v>5</v>
      </c>
      <c r="C5" s="2" t="s">
        <v>52</v>
      </c>
      <c r="D5" s="2">
        <v>0</v>
      </c>
      <c r="E5" s="2" t="s">
        <v>44</v>
      </c>
      <c r="F5" s="2" t="s">
        <v>45</v>
      </c>
      <c r="G5" s="2">
        <v>32</v>
      </c>
      <c r="H5" s="2">
        <v>45</v>
      </c>
      <c r="I5" s="2">
        <f>G5*H5</f>
        <v>1440</v>
      </c>
      <c r="J5" s="9">
        <f>I5/60</f>
        <v>24</v>
      </c>
      <c r="K5" s="2">
        <v>39</v>
      </c>
      <c r="L5" s="2">
        <v>45</v>
      </c>
      <c r="M5" s="2">
        <f>K5*L5</f>
        <v>1755</v>
      </c>
      <c r="N5" s="9">
        <f>M5/60</f>
        <v>29.25</v>
      </c>
      <c r="O5" s="2" t="s">
        <v>53</v>
      </c>
      <c r="P5" s="2" t="s">
        <v>47</v>
      </c>
      <c r="Q5" s="2" t="s">
        <v>54</v>
      </c>
      <c r="R5" s="2" t="s">
        <v>55</v>
      </c>
      <c r="S5" s="6">
        <v>0</v>
      </c>
      <c r="T5" s="6">
        <v>1.58</v>
      </c>
      <c r="U5" s="6">
        <v>0</v>
      </c>
      <c r="V5" s="6">
        <v>1.58</v>
      </c>
      <c r="W5" s="6" t="s">
        <v>191</v>
      </c>
    </row>
    <row r="6" spans="1:23" ht="29" customHeight="1" x14ac:dyDescent="0.35">
      <c r="A6" s="2" t="s">
        <v>74</v>
      </c>
      <c r="B6" s="2" t="s">
        <v>10</v>
      </c>
      <c r="C6" s="2" t="s">
        <v>75</v>
      </c>
      <c r="D6" s="2">
        <v>0</v>
      </c>
      <c r="E6" s="2" t="s">
        <v>44</v>
      </c>
      <c r="F6" s="2" t="s">
        <v>45</v>
      </c>
      <c r="G6" s="2">
        <v>30</v>
      </c>
      <c r="H6" s="2">
        <v>45</v>
      </c>
      <c r="I6" s="2">
        <f>G6*H6</f>
        <v>1350</v>
      </c>
      <c r="J6" s="9">
        <f>I6/60</f>
        <v>22.5</v>
      </c>
      <c r="K6" s="2">
        <v>35</v>
      </c>
      <c r="L6" s="2">
        <v>45</v>
      </c>
      <c r="M6" s="2">
        <f>K6*L6</f>
        <v>1575</v>
      </c>
      <c r="N6" s="9">
        <f>M6/60</f>
        <v>26.25</v>
      </c>
      <c r="O6" s="2"/>
      <c r="P6" s="2" t="s">
        <v>47</v>
      </c>
      <c r="Q6" s="2" t="s">
        <v>76</v>
      </c>
      <c r="R6" s="2"/>
      <c r="S6" s="6">
        <v>0</v>
      </c>
      <c r="T6" s="6">
        <v>1.08</v>
      </c>
      <c r="U6" s="6">
        <v>0</v>
      </c>
      <c r="V6" s="6">
        <v>1.08</v>
      </c>
      <c r="W6" s="6" t="s">
        <v>191</v>
      </c>
    </row>
    <row r="7" spans="1:23" ht="29" customHeight="1" x14ac:dyDescent="0.35">
      <c r="A7" s="2" t="s">
        <v>81</v>
      </c>
      <c r="B7" s="2" t="s">
        <v>12</v>
      </c>
      <c r="C7" s="2" t="s">
        <v>82</v>
      </c>
      <c r="D7" s="2">
        <v>0</v>
      </c>
      <c r="E7" s="2" t="s">
        <v>44</v>
      </c>
      <c r="F7" s="2" t="s">
        <v>45</v>
      </c>
      <c r="G7" s="2">
        <v>40</v>
      </c>
      <c r="H7" s="2">
        <v>45</v>
      </c>
      <c r="I7" s="2">
        <f>G7*H7</f>
        <v>1800</v>
      </c>
      <c r="J7" s="9">
        <f>I7/60</f>
        <v>30</v>
      </c>
      <c r="K7" s="2">
        <v>31</v>
      </c>
      <c r="L7" s="2">
        <v>50</v>
      </c>
      <c r="M7" s="2">
        <f>K7*L7</f>
        <v>1550</v>
      </c>
      <c r="N7" s="9">
        <f>M7/60</f>
        <v>25.833333333333332</v>
      </c>
      <c r="O7" s="2" t="s">
        <v>47</v>
      </c>
      <c r="P7" s="2" t="s">
        <v>47</v>
      </c>
      <c r="Q7" s="2" t="s">
        <v>193</v>
      </c>
      <c r="R7" s="2" t="s">
        <v>199</v>
      </c>
      <c r="S7" s="6">
        <v>0</v>
      </c>
      <c r="T7" s="6">
        <v>1.08</v>
      </c>
      <c r="U7" s="6">
        <v>0.67</v>
      </c>
      <c r="V7" s="6">
        <v>1.75</v>
      </c>
      <c r="W7" s="6" t="s">
        <v>191</v>
      </c>
    </row>
    <row r="8" spans="1:23" ht="29" customHeight="1" x14ac:dyDescent="0.35">
      <c r="A8" s="2" t="s">
        <v>42</v>
      </c>
      <c r="B8" s="2" t="s">
        <v>4</v>
      </c>
      <c r="C8" s="2" t="s">
        <v>43</v>
      </c>
      <c r="D8" s="2">
        <v>0</v>
      </c>
      <c r="E8" s="2" t="s">
        <v>44</v>
      </c>
      <c r="F8" s="2" t="s">
        <v>45</v>
      </c>
      <c r="G8" s="2">
        <v>36</v>
      </c>
      <c r="H8" s="2">
        <v>45</v>
      </c>
      <c r="I8" s="2">
        <f>G8*H8</f>
        <v>1620</v>
      </c>
      <c r="J8" s="9">
        <f>I8/60</f>
        <v>27</v>
      </c>
      <c r="K8" s="2">
        <v>34</v>
      </c>
      <c r="L8" s="2">
        <v>45</v>
      </c>
      <c r="M8" s="2">
        <f>K8*L8</f>
        <v>1530</v>
      </c>
      <c r="N8" s="9">
        <f>M8/60</f>
        <v>25.5</v>
      </c>
      <c r="O8" s="2" t="s">
        <v>46</v>
      </c>
      <c r="P8" s="2" t="s">
        <v>47</v>
      </c>
      <c r="Q8" s="2" t="s">
        <v>48</v>
      </c>
      <c r="R8" s="2" t="s">
        <v>49</v>
      </c>
      <c r="S8" s="6"/>
      <c r="T8" s="6"/>
      <c r="U8" s="6"/>
      <c r="V8" s="6" t="s">
        <v>50</v>
      </c>
      <c r="W8" s="6" t="s">
        <v>191</v>
      </c>
    </row>
    <row r="9" spans="1:23" ht="29" customHeight="1" x14ac:dyDescent="0.35">
      <c r="A9" s="2" t="s">
        <v>71</v>
      </c>
      <c r="B9" s="2" t="s">
        <v>9</v>
      </c>
      <c r="C9" s="2" t="s">
        <v>72</v>
      </c>
      <c r="D9" s="2">
        <v>1</v>
      </c>
      <c r="E9" s="2" t="s">
        <v>44</v>
      </c>
      <c r="F9" s="2" t="s">
        <v>45</v>
      </c>
      <c r="G9" s="2">
        <v>28</v>
      </c>
      <c r="H9" s="2">
        <v>45</v>
      </c>
      <c r="I9" s="2">
        <f>G9*H9</f>
        <v>1260</v>
      </c>
      <c r="J9" s="9">
        <f>I9/60</f>
        <v>21</v>
      </c>
      <c r="K9" s="2">
        <v>29</v>
      </c>
      <c r="L9" s="2">
        <v>50</v>
      </c>
      <c r="M9" s="2">
        <f>K9*L9</f>
        <v>1450</v>
      </c>
      <c r="N9" s="9">
        <f>M9/60</f>
        <v>24.166666666666668</v>
      </c>
      <c r="O9" s="2"/>
      <c r="P9" s="2" t="s">
        <v>47</v>
      </c>
      <c r="Q9" s="2" t="s">
        <v>73</v>
      </c>
      <c r="R9" s="2" t="s">
        <v>200</v>
      </c>
      <c r="S9" s="6">
        <v>0</v>
      </c>
      <c r="T9" s="6">
        <v>1.08</v>
      </c>
      <c r="U9" s="6">
        <v>0</v>
      </c>
      <c r="V9" s="6">
        <v>1.08</v>
      </c>
      <c r="W9" s="6" t="s">
        <v>191</v>
      </c>
    </row>
    <row r="10" spans="1:23" ht="29" customHeight="1" x14ac:dyDescent="0.35">
      <c r="A10" s="2" t="s">
        <v>89</v>
      </c>
      <c r="B10" s="2" t="s">
        <v>14</v>
      </c>
      <c r="C10" s="2" t="s">
        <v>90</v>
      </c>
      <c r="D10" s="2">
        <v>1</v>
      </c>
      <c r="E10" s="2" t="s">
        <v>91</v>
      </c>
      <c r="F10" s="2" t="s">
        <v>92</v>
      </c>
      <c r="G10" s="2">
        <v>0</v>
      </c>
      <c r="H10" s="2"/>
      <c r="I10" s="2">
        <f>G10*H10</f>
        <v>0</v>
      </c>
      <c r="J10" s="9">
        <f>I10/60</f>
        <v>0</v>
      </c>
      <c r="K10" s="2">
        <v>20</v>
      </c>
      <c r="L10" s="2">
        <v>60</v>
      </c>
      <c r="M10" s="2">
        <f>K10*L10</f>
        <v>1200</v>
      </c>
      <c r="N10" s="9">
        <f>M10/60</f>
        <v>20</v>
      </c>
      <c r="O10" s="2" t="s">
        <v>93</v>
      </c>
      <c r="P10" s="2" t="s">
        <v>47</v>
      </c>
      <c r="Q10" s="2" t="s">
        <v>94</v>
      </c>
      <c r="R10" s="2" t="s">
        <v>95</v>
      </c>
      <c r="S10" s="6"/>
      <c r="T10" s="6"/>
      <c r="U10" s="6"/>
      <c r="V10" s="6" t="s">
        <v>50</v>
      </c>
      <c r="W10" s="6" t="s">
        <v>191</v>
      </c>
    </row>
    <row r="11" spans="1:23" ht="29" customHeight="1" x14ac:dyDescent="0.35">
      <c r="A11" s="2" t="s">
        <v>113</v>
      </c>
      <c r="B11" s="2" t="s">
        <v>18</v>
      </c>
      <c r="C11" s="2" t="s">
        <v>114</v>
      </c>
      <c r="D11" s="2">
        <v>0</v>
      </c>
      <c r="E11" s="2" t="s">
        <v>44</v>
      </c>
      <c r="F11" s="2" t="s">
        <v>45</v>
      </c>
      <c r="G11" s="2">
        <v>29</v>
      </c>
      <c r="H11" s="2">
        <v>45</v>
      </c>
      <c r="I11" s="2">
        <f>G11*H11</f>
        <v>1305</v>
      </c>
      <c r="J11" s="9">
        <f>I11/60</f>
        <v>21.75</v>
      </c>
      <c r="K11" s="2">
        <v>24</v>
      </c>
      <c r="L11" s="2">
        <v>45</v>
      </c>
      <c r="M11" s="2">
        <f>K11*L11</f>
        <v>1080</v>
      </c>
      <c r="N11" s="9">
        <f>M11/60</f>
        <v>18</v>
      </c>
      <c r="O11" s="2" t="s">
        <v>115</v>
      </c>
      <c r="P11" s="2" t="s">
        <v>47</v>
      </c>
      <c r="Q11" s="2" t="s">
        <v>116</v>
      </c>
      <c r="R11" s="2" t="s">
        <v>196</v>
      </c>
      <c r="S11" s="6">
        <v>0</v>
      </c>
      <c r="T11" s="6">
        <v>1</v>
      </c>
      <c r="U11" s="6">
        <v>0</v>
      </c>
      <c r="V11" s="6">
        <v>1</v>
      </c>
      <c r="W11" s="6" t="s">
        <v>191</v>
      </c>
    </row>
    <row r="12" spans="1:23" ht="29" customHeight="1" x14ac:dyDescent="0.35">
      <c r="A12" s="2" t="s">
        <v>56</v>
      </c>
      <c r="B12" s="2" t="s">
        <v>6</v>
      </c>
      <c r="C12" s="2" t="s">
        <v>57</v>
      </c>
      <c r="D12" s="2">
        <v>1</v>
      </c>
      <c r="E12" s="2" t="s">
        <v>44</v>
      </c>
      <c r="F12" s="2" t="s">
        <v>58</v>
      </c>
      <c r="G12" s="2">
        <v>32</v>
      </c>
      <c r="H12" s="2">
        <v>50</v>
      </c>
      <c r="I12" s="2">
        <f>G12*H12</f>
        <v>1600</v>
      </c>
      <c r="J12" s="9">
        <f>I12/60</f>
        <v>26.666666666666668</v>
      </c>
      <c r="K12" s="2">
        <v>18</v>
      </c>
      <c r="L12" s="2">
        <v>50</v>
      </c>
      <c r="M12" s="2">
        <f>K12*L12</f>
        <v>900</v>
      </c>
      <c r="N12" s="9">
        <f>M12/60</f>
        <v>15</v>
      </c>
      <c r="O12" s="2" t="s">
        <v>59</v>
      </c>
      <c r="P12" s="2" t="s">
        <v>60</v>
      </c>
      <c r="Q12" s="2" t="s">
        <v>61</v>
      </c>
      <c r="R12" s="2" t="s">
        <v>201</v>
      </c>
      <c r="S12" s="6">
        <v>0</v>
      </c>
      <c r="T12" s="6">
        <v>1</v>
      </c>
      <c r="U12" s="6">
        <v>0</v>
      </c>
      <c r="V12" s="6">
        <v>1</v>
      </c>
      <c r="W12" s="6" t="s">
        <v>191</v>
      </c>
    </row>
    <row r="13" spans="1:23" ht="29" customHeight="1" x14ac:dyDescent="0.35">
      <c r="A13" s="2" t="s">
        <v>77</v>
      </c>
      <c r="B13" s="2" t="s">
        <v>11</v>
      </c>
      <c r="C13" s="2" t="s">
        <v>78</v>
      </c>
      <c r="D13" s="2">
        <v>1</v>
      </c>
      <c r="E13" s="2" t="s">
        <v>44</v>
      </c>
      <c r="F13" s="2" t="s">
        <v>45</v>
      </c>
      <c r="G13" s="2">
        <v>24</v>
      </c>
      <c r="H13" s="2">
        <v>45</v>
      </c>
      <c r="I13" s="2">
        <f>G13*H13</f>
        <v>1080</v>
      </c>
      <c r="J13" s="9">
        <f>I13/60</f>
        <v>18</v>
      </c>
      <c r="K13" s="2">
        <v>20</v>
      </c>
      <c r="L13" s="2">
        <v>45</v>
      </c>
      <c r="M13" s="2">
        <f>K13*L13</f>
        <v>900</v>
      </c>
      <c r="N13" s="9">
        <f>M13/60</f>
        <v>15</v>
      </c>
      <c r="O13" s="2" t="s">
        <v>79</v>
      </c>
      <c r="P13" s="2" t="s">
        <v>47</v>
      </c>
      <c r="Q13" s="2" t="s">
        <v>192</v>
      </c>
      <c r="R13" s="2" t="s">
        <v>80</v>
      </c>
      <c r="S13" s="6">
        <v>0</v>
      </c>
      <c r="T13" s="6">
        <v>1</v>
      </c>
      <c r="U13" s="6">
        <v>0</v>
      </c>
      <c r="V13" s="6">
        <v>1</v>
      </c>
      <c r="W13" s="6" t="s">
        <v>191</v>
      </c>
    </row>
    <row r="14" spans="1:23" ht="29" customHeight="1" x14ac:dyDescent="0.35">
      <c r="A14" s="2" t="s">
        <v>138</v>
      </c>
      <c r="B14" s="2" t="s">
        <v>23</v>
      </c>
      <c r="C14" s="2" t="s">
        <v>139</v>
      </c>
      <c r="D14" s="2">
        <v>1</v>
      </c>
      <c r="E14" s="2" t="s">
        <v>98</v>
      </c>
      <c r="F14" s="2" t="s">
        <v>140</v>
      </c>
      <c r="G14" s="2">
        <v>25</v>
      </c>
      <c r="H14" s="2">
        <v>45</v>
      </c>
      <c r="I14" s="2">
        <f>G14*H14</f>
        <v>1125</v>
      </c>
      <c r="J14" s="9">
        <f>I14/60</f>
        <v>18.75</v>
      </c>
      <c r="K14" s="2">
        <v>17</v>
      </c>
      <c r="L14" s="2">
        <v>45</v>
      </c>
      <c r="M14" s="2">
        <f>K14*L14</f>
        <v>765</v>
      </c>
      <c r="N14" s="9">
        <f>M14/60</f>
        <v>12.75</v>
      </c>
      <c r="O14" s="2" t="s">
        <v>141</v>
      </c>
      <c r="P14" s="2" t="s">
        <v>47</v>
      </c>
      <c r="Q14" s="2" t="s">
        <v>142</v>
      </c>
      <c r="R14" s="2" t="s">
        <v>143</v>
      </c>
      <c r="S14" s="6">
        <v>0</v>
      </c>
      <c r="T14" s="6">
        <v>1.5</v>
      </c>
      <c r="U14" s="6">
        <v>0</v>
      </c>
      <c r="V14" s="6">
        <v>1.5</v>
      </c>
      <c r="W14" s="6" t="s">
        <v>191</v>
      </c>
    </row>
    <row r="15" spans="1:23" ht="29" customHeight="1" x14ac:dyDescent="0.35">
      <c r="A15" s="2" t="s">
        <v>62</v>
      </c>
      <c r="B15" s="2" t="s">
        <v>7</v>
      </c>
      <c r="C15" s="2" t="s">
        <v>63</v>
      </c>
      <c r="D15" s="2">
        <v>1</v>
      </c>
      <c r="E15" s="2" t="s">
        <v>44</v>
      </c>
      <c r="F15" s="2" t="s">
        <v>45</v>
      </c>
      <c r="G15" s="2">
        <v>14</v>
      </c>
      <c r="H15" s="2">
        <v>90</v>
      </c>
      <c r="I15" s="2">
        <f>G15*H15</f>
        <v>1260</v>
      </c>
      <c r="J15" s="9">
        <f>I15/60</f>
        <v>21</v>
      </c>
      <c r="K15" s="2">
        <v>12</v>
      </c>
      <c r="L15" s="2">
        <v>45</v>
      </c>
      <c r="M15" s="2">
        <f>K15*L15</f>
        <v>540</v>
      </c>
      <c r="N15" s="9">
        <f>M15/60</f>
        <v>9</v>
      </c>
      <c r="O15" s="2" t="s">
        <v>64</v>
      </c>
      <c r="P15" s="2" t="s">
        <v>47</v>
      </c>
      <c r="Q15" s="2" t="s">
        <v>65</v>
      </c>
      <c r="R15" s="2" t="s">
        <v>66</v>
      </c>
      <c r="S15" s="6">
        <v>0</v>
      </c>
      <c r="T15" s="6">
        <v>1.5</v>
      </c>
      <c r="U15" s="6">
        <v>0.67</v>
      </c>
      <c r="V15" s="6">
        <v>2.17</v>
      </c>
      <c r="W15" s="6" t="s">
        <v>191</v>
      </c>
    </row>
    <row r="16" spans="1:23" ht="29" customHeight="1" x14ac:dyDescent="0.35">
      <c r="A16" s="2" t="s">
        <v>96</v>
      </c>
      <c r="B16" s="2" t="s">
        <v>15</v>
      </c>
      <c r="C16" s="2" t="s">
        <v>97</v>
      </c>
      <c r="D16" s="2">
        <v>1</v>
      </c>
      <c r="E16" s="2" t="s">
        <v>98</v>
      </c>
      <c r="F16" s="2" t="s">
        <v>99</v>
      </c>
      <c r="G16" s="2">
        <v>0</v>
      </c>
      <c r="H16" s="2"/>
      <c r="I16" s="2">
        <f>G16*H16</f>
        <v>0</v>
      </c>
      <c r="J16" s="9">
        <f>I16/60</f>
        <v>0</v>
      </c>
      <c r="K16" s="2">
        <v>6</v>
      </c>
      <c r="L16" s="2">
        <v>60</v>
      </c>
      <c r="M16" s="2">
        <f>K16*L16</f>
        <v>360</v>
      </c>
      <c r="N16" s="9">
        <f>M16/60</f>
        <v>6</v>
      </c>
      <c r="O16" s="2" t="s">
        <v>100</v>
      </c>
      <c r="P16" s="2" t="s">
        <v>47</v>
      </c>
      <c r="Q16" s="2" t="s">
        <v>101</v>
      </c>
      <c r="R16" s="2" t="s">
        <v>102</v>
      </c>
      <c r="S16" s="6"/>
      <c r="T16" s="6"/>
      <c r="U16" s="6"/>
      <c r="V16" s="6" t="s">
        <v>50</v>
      </c>
      <c r="W16" s="6" t="s">
        <v>191</v>
      </c>
    </row>
    <row r="17" spans="1:23" ht="43.5" customHeight="1" x14ac:dyDescent="0.35">
      <c r="A17" s="2" t="s">
        <v>122</v>
      </c>
      <c r="B17" s="2" t="s">
        <v>20</v>
      </c>
      <c r="C17" s="2" t="s">
        <v>123</v>
      </c>
      <c r="D17" s="2">
        <v>1</v>
      </c>
      <c r="E17" s="2" t="s">
        <v>45</v>
      </c>
      <c r="F17" s="2" t="s">
        <v>124</v>
      </c>
      <c r="G17" s="2">
        <v>8</v>
      </c>
      <c r="H17" s="2">
        <v>45</v>
      </c>
      <c r="I17" s="2">
        <f>G17*H17</f>
        <v>360</v>
      </c>
      <c r="J17" s="9">
        <f>I17/60</f>
        <v>6</v>
      </c>
      <c r="K17" s="2">
        <v>4</v>
      </c>
      <c r="L17" s="2">
        <v>50</v>
      </c>
      <c r="M17" s="2">
        <f>K17*L17</f>
        <v>200</v>
      </c>
      <c r="N17" s="9">
        <f>M17/60</f>
        <v>3.3333333333333335</v>
      </c>
      <c r="O17" s="2" t="s">
        <v>125</v>
      </c>
      <c r="P17" s="2" t="s">
        <v>47</v>
      </c>
      <c r="Q17" s="2" t="s">
        <v>195</v>
      </c>
      <c r="R17" s="2" t="s">
        <v>203</v>
      </c>
      <c r="S17" s="6">
        <v>0</v>
      </c>
      <c r="T17" s="6">
        <v>0.67</v>
      </c>
      <c r="U17" s="6">
        <v>0</v>
      </c>
      <c r="V17" s="6">
        <v>0.67</v>
      </c>
      <c r="W17" s="6" t="s">
        <v>191</v>
      </c>
    </row>
    <row r="18" spans="1:23" ht="29" customHeight="1" x14ac:dyDescent="0.35">
      <c r="A18" s="2" t="s">
        <v>83</v>
      </c>
      <c r="B18" s="2" t="s">
        <v>13</v>
      </c>
      <c r="C18" s="2" t="s">
        <v>84</v>
      </c>
      <c r="D18" s="2">
        <v>1</v>
      </c>
      <c r="E18" s="2" t="s">
        <v>85</v>
      </c>
      <c r="F18" s="2" t="s">
        <v>45</v>
      </c>
      <c r="G18" s="2">
        <v>0</v>
      </c>
      <c r="H18" s="2"/>
      <c r="I18" s="2">
        <f>G18*H18</f>
        <v>0</v>
      </c>
      <c r="J18" s="9">
        <f>I18/60</f>
        <v>0</v>
      </c>
      <c r="K18" s="2">
        <v>0</v>
      </c>
      <c r="L18" s="2"/>
      <c r="M18" s="2">
        <f>K18*L18</f>
        <v>0</v>
      </c>
      <c r="N18" s="9">
        <f>M18/60</f>
        <v>0</v>
      </c>
      <c r="O18" s="2" t="s">
        <v>86</v>
      </c>
      <c r="P18" s="2" t="s">
        <v>47</v>
      </c>
      <c r="Q18" s="2" t="s">
        <v>87</v>
      </c>
      <c r="R18" s="2" t="s">
        <v>88</v>
      </c>
      <c r="S18" s="6">
        <v>0</v>
      </c>
      <c r="T18" s="6">
        <v>0.67</v>
      </c>
      <c r="U18" s="6">
        <v>0</v>
      </c>
      <c r="V18" s="6">
        <v>0.67</v>
      </c>
      <c r="W18" s="6" t="s">
        <v>191</v>
      </c>
    </row>
    <row r="19" spans="1:23" ht="29" customHeight="1" x14ac:dyDescent="0.35">
      <c r="A19" s="2" t="s">
        <v>117</v>
      </c>
      <c r="B19" s="2" t="s">
        <v>19</v>
      </c>
      <c r="C19" s="2" t="s">
        <v>118</v>
      </c>
      <c r="D19" s="2">
        <v>1</v>
      </c>
      <c r="E19" s="2" t="s">
        <v>45</v>
      </c>
      <c r="F19" s="2" t="s">
        <v>119</v>
      </c>
      <c r="G19" s="2">
        <v>0</v>
      </c>
      <c r="H19" s="2"/>
      <c r="I19" s="2">
        <f>G19*H19</f>
        <v>0</v>
      </c>
      <c r="J19" s="9">
        <f>I19/60</f>
        <v>0</v>
      </c>
      <c r="K19" s="2">
        <v>0</v>
      </c>
      <c r="L19" s="2"/>
      <c r="M19" s="2">
        <f>K19*L19</f>
        <v>0</v>
      </c>
      <c r="N19" s="9">
        <f>M19/60</f>
        <v>0</v>
      </c>
      <c r="O19" s="2" t="s">
        <v>120</v>
      </c>
      <c r="P19" s="2" t="s">
        <v>47</v>
      </c>
      <c r="Q19" s="2" t="s">
        <v>121</v>
      </c>
      <c r="R19" s="2"/>
      <c r="S19" s="6">
        <v>1.33</v>
      </c>
      <c r="T19" s="6">
        <v>0.5</v>
      </c>
      <c r="U19" s="6">
        <v>0.67</v>
      </c>
      <c r="V19" s="6">
        <v>2.5</v>
      </c>
      <c r="W19" s="6" t="s">
        <v>191</v>
      </c>
    </row>
    <row r="20" spans="1:23" ht="29" customHeight="1" x14ac:dyDescent="0.35">
      <c r="A20" s="2" t="s">
        <v>126</v>
      </c>
      <c r="B20" s="2" t="s">
        <v>21</v>
      </c>
      <c r="C20" s="2" t="s">
        <v>127</v>
      </c>
      <c r="D20" s="2">
        <v>1</v>
      </c>
      <c r="E20" s="2" t="s">
        <v>45</v>
      </c>
      <c r="F20" s="2" t="s">
        <v>128</v>
      </c>
      <c r="G20" s="2">
        <v>0</v>
      </c>
      <c r="H20" s="2"/>
      <c r="I20" s="2">
        <f>G20*H20</f>
        <v>0</v>
      </c>
      <c r="J20" s="9">
        <f>I20/60</f>
        <v>0</v>
      </c>
      <c r="K20" s="2">
        <v>0</v>
      </c>
      <c r="L20" s="2"/>
      <c r="M20" s="2">
        <f>K20*L20</f>
        <v>0</v>
      </c>
      <c r="N20" s="9">
        <f>M20/60</f>
        <v>0</v>
      </c>
      <c r="O20" s="2" t="s">
        <v>129</v>
      </c>
      <c r="P20" s="2" t="s">
        <v>47</v>
      </c>
      <c r="Q20" s="2" t="s">
        <v>130</v>
      </c>
      <c r="R20" s="2" t="s">
        <v>131</v>
      </c>
      <c r="S20" s="6">
        <v>0</v>
      </c>
      <c r="T20" s="6">
        <v>0.5</v>
      </c>
      <c r="U20" s="6">
        <v>0.67</v>
      </c>
      <c r="V20" s="6">
        <v>1.17</v>
      </c>
      <c r="W20" s="6" t="s">
        <v>191</v>
      </c>
    </row>
    <row r="21" spans="1:23" ht="29" customHeight="1" x14ac:dyDescent="0.35">
      <c r="A21" s="2" t="s">
        <v>132</v>
      </c>
      <c r="B21" s="2" t="s">
        <v>22</v>
      </c>
      <c r="C21" s="2" t="s">
        <v>133</v>
      </c>
      <c r="D21" s="2">
        <v>1</v>
      </c>
      <c r="E21" s="2" t="s">
        <v>45</v>
      </c>
      <c r="F21" s="2" t="s">
        <v>134</v>
      </c>
      <c r="G21" s="2">
        <v>8</v>
      </c>
      <c r="H21" s="2">
        <v>60</v>
      </c>
      <c r="I21" s="2">
        <f>G21*H21</f>
        <v>480</v>
      </c>
      <c r="J21" s="9">
        <f>I21/60</f>
        <v>8</v>
      </c>
      <c r="K21" s="2">
        <v>0</v>
      </c>
      <c r="L21" s="2"/>
      <c r="M21" s="2">
        <f>K21*L21</f>
        <v>0</v>
      </c>
      <c r="N21" s="9">
        <f>M21/60</f>
        <v>0</v>
      </c>
      <c r="O21" s="2" t="s">
        <v>135</v>
      </c>
      <c r="P21" s="2" t="s">
        <v>136</v>
      </c>
      <c r="Q21" s="2" t="s">
        <v>137</v>
      </c>
      <c r="R21" s="2" t="s">
        <v>202</v>
      </c>
      <c r="S21" s="6">
        <v>0</v>
      </c>
      <c r="T21" s="6">
        <v>0.83</v>
      </c>
      <c r="U21" s="6">
        <v>0</v>
      </c>
      <c r="V21" s="6">
        <v>0.83</v>
      </c>
      <c r="W21" s="6" t="s">
        <v>191</v>
      </c>
    </row>
  </sheetData>
  <autoFilter ref="A1:R21" xr:uid="{00000000-0009-0000-0000-000000000000}">
    <sortState xmlns:xlrd2="http://schemas.microsoft.com/office/spreadsheetml/2017/richdata2" ref="A2:R21">
      <sortCondition descending="1" ref="N1:N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D21"/>
    </sheetView>
  </sheetViews>
  <sheetFormatPr defaultRowHeight="14.5" x14ac:dyDescent="0.35"/>
  <cols>
    <col min="2" max="2" width="11.26953125" customWidth="1"/>
    <col min="3" max="3" width="11.54296875" customWidth="1"/>
    <col min="4" max="4" width="13.54296875" customWidth="1"/>
  </cols>
  <sheetData>
    <row r="1" spans="1:4" ht="26" customHeight="1" x14ac:dyDescent="0.35">
      <c r="A1" s="1" t="s">
        <v>0</v>
      </c>
      <c r="B1" s="4" t="s">
        <v>1</v>
      </c>
      <c r="C1" s="4" t="s">
        <v>2</v>
      </c>
      <c r="D1" s="1" t="s">
        <v>189</v>
      </c>
    </row>
    <row r="2" spans="1:4" ht="29" x14ac:dyDescent="0.35">
      <c r="A2" s="2" t="s">
        <v>16</v>
      </c>
      <c r="B2" s="7">
        <v>28</v>
      </c>
      <c r="C2" s="7">
        <v>32</v>
      </c>
      <c r="D2" s="8" t="s">
        <v>50</v>
      </c>
    </row>
    <row r="3" spans="1:4" ht="29" x14ac:dyDescent="0.35">
      <c r="A3" s="2" t="s">
        <v>8</v>
      </c>
      <c r="B3" s="7">
        <v>22.5</v>
      </c>
      <c r="C3" s="7">
        <v>30</v>
      </c>
      <c r="D3" s="8" t="s">
        <v>50</v>
      </c>
    </row>
    <row r="4" spans="1:4" x14ac:dyDescent="0.35">
      <c r="A4" s="2" t="s">
        <v>17</v>
      </c>
      <c r="B4" s="7">
        <v>12</v>
      </c>
      <c r="C4" s="7">
        <v>30</v>
      </c>
      <c r="D4" s="8">
        <v>1.92</v>
      </c>
    </row>
    <row r="5" spans="1:4" x14ac:dyDescent="0.35">
      <c r="A5" s="2" t="s">
        <v>5</v>
      </c>
      <c r="B5" s="7">
        <v>24</v>
      </c>
      <c r="C5" s="7">
        <v>29.25</v>
      </c>
      <c r="D5" s="8">
        <v>1.58</v>
      </c>
    </row>
    <row r="6" spans="1:4" x14ac:dyDescent="0.35">
      <c r="A6" s="2" t="s">
        <v>10</v>
      </c>
      <c r="B6" s="7">
        <v>22.5</v>
      </c>
      <c r="C6" s="7">
        <v>26.25</v>
      </c>
      <c r="D6" s="8">
        <v>1.08</v>
      </c>
    </row>
    <row r="7" spans="1:4" x14ac:dyDescent="0.35">
      <c r="A7" s="2" t="s">
        <v>12</v>
      </c>
      <c r="B7" s="7">
        <v>30</v>
      </c>
      <c r="C7" s="7">
        <v>25.833333333333332</v>
      </c>
      <c r="D7" s="8">
        <v>1.75</v>
      </c>
    </row>
    <row r="8" spans="1:4" ht="29" x14ac:dyDescent="0.35">
      <c r="A8" s="2" t="s">
        <v>4</v>
      </c>
      <c r="B8" s="7">
        <v>27</v>
      </c>
      <c r="C8" s="7">
        <v>25.5</v>
      </c>
      <c r="D8" s="8" t="s">
        <v>50</v>
      </c>
    </row>
    <row r="9" spans="1:4" x14ac:dyDescent="0.35">
      <c r="A9" s="2" t="s">
        <v>9</v>
      </c>
      <c r="B9" s="7">
        <v>21</v>
      </c>
      <c r="C9" s="7">
        <v>24.166666666666668</v>
      </c>
      <c r="D9" s="8">
        <v>1.08</v>
      </c>
    </row>
    <row r="10" spans="1:4" ht="29" x14ac:dyDescent="0.35">
      <c r="A10" s="2" t="s">
        <v>14</v>
      </c>
      <c r="B10" s="7">
        <v>0</v>
      </c>
      <c r="C10" s="7">
        <v>20</v>
      </c>
      <c r="D10" s="8" t="s">
        <v>50</v>
      </c>
    </row>
    <row r="11" spans="1:4" x14ac:dyDescent="0.35">
      <c r="A11" s="2" t="s">
        <v>18</v>
      </c>
      <c r="B11" s="7">
        <v>21.75</v>
      </c>
      <c r="C11" s="7">
        <v>18</v>
      </c>
      <c r="D11" s="8">
        <v>1</v>
      </c>
    </row>
    <row r="12" spans="1:4" x14ac:dyDescent="0.35">
      <c r="A12" s="2" t="s">
        <v>6</v>
      </c>
      <c r="B12" s="7">
        <v>26.666666666666668</v>
      </c>
      <c r="C12" s="7">
        <v>15</v>
      </c>
      <c r="D12" s="8">
        <v>1</v>
      </c>
    </row>
    <row r="13" spans="1:4" x14ac:dyDescent="0.35">
      <c r="A13" s="2" t="s">
        <v>11</v>
      </c>
      <c r="B13" s="7">
        <v>18</v>
      </c>
      <c r="C13" s="7">
        <v>15</v>
      </c>
      <c r="D13" s="8">
        <v>1</v>
      </c>
    </row>
    <row r="14" spans="1:4" x14ac:dyDescent="0.35">
      <c r="A14" s="2" t="s">
        <v>23</v>
      </c>
      <c r="B14" s="7">
        <v>18.75</v>
      </c>
      <c r="C14" s="7">
        <v>12.75</v>
      </c>
      <c r="D14" s="8">
        <v>1.5</v>
      </c>
    </row>
    <row r="15" spans="1:4" x14ac:dyDescent="0.35">
      <c r="A15" s="2" t="s">
        <v>7</v>
      </c>
      <c r="B15" s="7">
        <v>21</v>
      </c>
      <c r="C15" s="7">
        <v>9</v>
      </c>
      <c r="D15" s="8">
        <v>2.17</v>
      </c>
    </row>
    <row r="16" spans="1:4" ht="29" x14ac:dyDescent="0.35">
      <c r="A16" s="2" t="s">
        <v>15</v>
      </c>
      <c r="B16" s="7">
        <v>0</v>
      </c>
      <c r="C16" s="7">
        <v>6</v>
      </c>
      <c r="D16" s="8" t="s">
        <v>50</v>
      </c>
    </row>
    <row r="17" spans="1:4" x14ac:dyDescent="0.35">
      <c r="A17" s="2" t="s">
        <v>20</v>
      </c>
      <c r="B17" s="7">
        <v>6</v>
      </c>
      <c r="C17" s="7">
        <v>3.3333333333333335</v>
      </c>
      <c r="D17" s="8">
        <v>0.67</v>
      </c>
    </row>
    <row r="18" spans="1:4" x14ac:dyDescent="0.35">
      <c r="A18" s="2" t="s">
        <v>13</v>
      </c>
      <c r="B18" s="7">
        <v>0</v>
      </c>
      <c r="C18" s="7">
        <v>0</v>
      </c>
      <c r="D18" s="8">
        <v>0.67</v>
      </c>
    </row>
    <row r="19" spans="1:4" x14ac:dyDescent="0.35">
      <c r="A19" s="2" t="s">
        <v>19</v>
      </c>
      <c r="B19" s="7">
        <v>0</v>
      </c>
      <c r="C19" s="7">
        <v>0</v>
      </c>
      <c r="D19" s="8">
        <v>2.5</v>
      </c>
    </row>
    <row r="20" spans="1:4" x14ac:dyDescent="0.35">
      <c r="A20" s="2" t="s">
        <v>21</v>
      </c>
      <c r="B20" s="7">
        <v>0</v>
      </c>
      <c r="C20" s="7">
        <v>0</v>
      </c>
      <c r="D20" s="8">
        <v>1.17</v>
      </c>
    </row>
    <row r="21" spans="1:4" x14ac:dyDescent="0.35">
      <c r="A21" s="2" t="s">
        <v>22</v>
      </c>
      <c r="B21" s="7">
        <v>8</v>
      </c>
      <c r="C21" s="7">
        <v>0</v>
      </c>
      <c r="D21" s="8">
        <v>0.83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pane ySplit="1" topLeftCell="A2" activePane="bottomLeft" state="frozen"/>
      <selection pane="bottomLeft" activeCell="A5" sqref="A5:XFD5"/>
    </sheetView>
  </sheetViews>
  <sheetFormatPr defaultRowHeight="14.5" x14ac:dyDescent="0.35"/>
  <cols>
    <col min="1" max="1" width="6" customWidth="1"/>
    <col min="2" max="2" width="58" customWidth="1"/>
    <col min="3" max="3" width="81.453125" customWidth="1"/>
    <col min="4" max="4" width="62" customWidth="1"/>
    <col min="5" max="5" width="44" customWidth="1"/>
  </cols>
  <sheetData>
    <row r="1" spans="1:3" x14ac:dyDescent="0.35">
      <c r="A1" s="3" t="s">
        <v>24</v>
      </c>
      <c r="B1" s="3" t="s">
        <v>144</v>
      </c>
      <c r="C1" s="3" t="s">
        <v>145</v>
      </c>
    </row>
    <row r="2" spans="1:3" ht="29" x14ac:dyDescent="0.35">
      <c r="A2" s="2" t="s">
        <v>4</v>
      </c>
      <c r="B2" s="2" t="s">
        <v>146</v>
      </c>
      <c r="C2" s="2" t="s">
        <v>147</v>
      </c>
    </row>
    <row r="3" spans="1:3" ht="29" x14ac:dyDescent="0.35">
      <c r="A3" s="2" t="s">
        <v>5</v>
      </c>
      <c r="B3" s="2" t="s">
        <v>148</v>
      </c>
      <c r="C3" s="2" t="s">
        <v>149</v>
      </c>
    </row>
    <row r="4" spans="1:3" ht="29" x14ac:dyDescent="0.35">
      <c r="A4" s="2" t="s">
        <v>6</v>
      </c>
      <c r="B4" s="2" t="s">
        <v>150</v>
      </c>
      <c r="C4" s="2" t="s">
        <v>151</v>
      </c>
    </row>
    <row r="5" spans="1:3" x14ac:dyDescent="0.35">
      <c r="A5" s="2" t="s">
        <v>7</v>
      </c>
      <c r="B5" s="2" t="s">
        <v>152</v>
      </c>
      <c r="C5" s="2" t="s">
        <v>153</v>
      </c>
    </row>
    <row r="6" spans="1:3" ht="29" x14ac:dyDescent="0.35">
      <c r="A6" s="2" t="s">
        <v>8</v>
      </c>
      <c r="B6" s="2" t="s">
        <v>154</v>
      </c>
      <c r="C6" s="2" t="s">
        <v>155</v>
      </c>
    </row>
    <row r="7" spans="1:3" ht="29" x14ac:dyDescent="0.35">
      <c r="A7" s="2" t="s">
        <v>9</v>
      </c>
      <c r="B7" s="2" t="s">
        <v>156</v>
      </c>
      <c r="C7" s="2" t="s">
        <v>157</v>
      </c>
    </row>
    <row r="8" spans="1:3" ht="29" x14ac:dyDescent="0.35">
      <c r="A8" s="2" t="s">
        <v>10</v>
      </c>
      <c r="B8" s="2" t="s">
        <v>158</v>
      </c>
      <c r="C8" s="2" t="s">
        <v>159</v>
      </c>
    </row>
    <row r="9" spans="1:3" ht="29" x14ac:dyDescent="0.35">
      <c r="A9" s="2" t="s">
        <v>11</v>
      </c>
      <c r="B9" s="2" t="s">
        <v>160</v>
      </c>
      <c r="C9" s="2" t="s">
        <v>161</v>
      </c>
    </row>
    <row r="10" spans="1:3" ht="29" customHeight="1" x14ac:dyDescent="0.35">
      <c r="A10" s="2" t="s">
        <v>12</v>
      </c>
      <c r="B10" s="2" t="s">
        <v>162</v>
      </c>
      <c r="C10" s="2" t="s">
        <v>163</v>
      </c>
    </row>
    <row r="11" spans="1:3" ht="29" customHeight="1" x14ac:dyDescent="0.35">
      <c r="A11" s="2" t="s">
        <v>13</v>
      </c>
      <c r="B11" s="2" t="s">
        <v>164</v>
      </c>
      <c r="C11" s="2" t="s">
        <v>165</v>
      </c>
    </row>
    <row r="12" spans="1:3" x14ac:dyDescent="0.35">
      <c r="A12" s="2" t="s">
        <v>14</v>
      </c>
      <c r="B12" s="2" t="s">
        <v>166</v>
      </c>
      <c r="C12" s="2" t="s">
        <v>167</v>
      </c>
    </row>
    <row r="13" spans="1:3" x14ac:dyDescent="0.35">
      <c r="A13" s="2" t="s">
        <v>15</v>
      </c>
      <c r="B13" s="2" t="s">
        <v>168</v>
      </c>
      <c r="C13" s="2" t="s">
        <v>169</v>
      </c>
    </row>
    <row r="14" spans="1:3" ht="29" customHeight="1" x14ac:dyDescent="0.35">
      <c r="A14" s="2" t="s">
        <v>16</v>
      </c>
      <c r="B14" s="2" t="s">
        <v>170</v>
      </c>
      <c r="C14" s="2" t="s">
        <v>171</v>
      </c>
    </row>
    <row r="15" spans="1:3" ht="29" x14ac:dyDescent="0.35">
      <c r="A15" s="2" t="s">
        <v>17</v>
      </c>
      <c r="B15" s="2" t="s">
        <v>172</v>
      </c>
      <c r="C15" s="2" t="s">
        <v>173</v>
      </c>
    </row>
    <row r="16" spans="1:3" x14ac:dyDescent="0.35">
      <c r="A16" s="2" t="s">
        <v>18</v>
      </c>
      <c r="B16" s="2" t="s">
        <v>174</v>
      </c>
      <c r="C16" s="2" t="s">
        <v>175</v>
      </c>
    </row>
    <row r="17" spans="1:3" ht="29" x14ac:dyDescent="0.35">
      <c r="A17" s="2" t="s">
        <v>19</v>
      </c>
      <c r="B17" s="2" t="s">
        <v>176</v>
      </c>
      <c r="C17" s="2" t="s">
        <v>177</v>
      </c>
    </row>
    <row r="18" spans="1:3" x14ac:dyDescent="0.35">
      <c r="A18" s="2" t="s">
        <v>20</v>
      </c>
      <c r="B18" s="2" t="s">
        <v>178</v>
      </c>
      <c r="C18" s="2" t="s">
        <v>179</v>
      </c>
    </row>
    <row r="19" spans="1:3" ht="29" customHeight="1" x14ac:dyDescent="0.35">
      <c r="A19" s="2" t="s">
        <v>21</v>
      </c>
      <c r="B19" s="2" t="s">
        <v>180</v>
      </c>
      <c r="C19" s="2" t="s">
        <v>181</v>
      </c>
    </row>
    <row r="20" spans="1:3" x14ac:dyDescent="0.35">
      <c r="A20" s="2" t="s">
        <v>22</v>
      </c>
      <c r="B20" s="2" t="s">
        <v>182</v>
      </c>
      <c r="C20" s="2" t="s">
        <v>183</v>
      </c>
    </row>
    <row r="21" spans="1:3" x14ac:dyDescent="0.35">
      <c r="A21" s="2" t="s">
        <v>23</v>
      </c>
      <c r="B21" s="2" t="s">
        <v>184</v>
      </c>
      <c r="C21" s="2" t="s">
        <v>185</v>
      </c>
    </row>
    <row r="22" spans="1:3" ht="43.5" x14ac:dyDescent="0.35">
      <c r="A22" s="6" t="s">
        <v>186</v>
      </c>
      <c r="B22" s="6" t="s">
        <v>187</v>
      </c>
      <c r="C22" s="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Regulace B</vt:lpstr>
      <vt:lpstr>Kompaktní regulace B</vt:lpstr>
      <vt:lpstr>Zdroje a soubory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Bany Bany</dc:creator>
  <cp:lastModifiedBy>Lukáš Baňař</cp:lastModifiedBy>
  <dcterms:created xsi:type="dcterms:W3CDTF">2015-06-05T18:19:34Z</dcterms:created>
  <dcterms:modified xsi:type="dcterms:W3CDTF">2026-07-16T09:23:28Z</dcterms:modified>
</cp:coreProperties>
</file>